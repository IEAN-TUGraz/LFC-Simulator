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Masterarbeit\Simulator\Simulator_Test_Data\"/>
    </mc:Choice>
  </mc:AlternateContent>
  <xr:revisionPtr revIDLastSave="0" documentId="13_ncr:1_{7365E59E-F1A5-4041-AAC1-0B7F1FDC4A03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Substations" sheetId="1" r:id="rId1"/>
    <sheet name="Transformers" sheetId="2" r:id="rId2"/>
    <sheet name="Lines" sheetId="4" r:id="rId3"/>
    <sheet name="List" sheetId="3" r:id="rId4"/>
  </sheets>
  <externalReferences>
    <externalReference r:id="rId5"/>
  </externalReferences>
  <definedNames>
    <definedName name="Sub">Substations!$C$3:$C$5</definedName>
    <definedName name="Sub_abbr">Substations!$C$3:$C$10</definedName>
    <definedName name="Subname">Substations!$C$3:$C$5</definedName>
    <definedName name="Trafo_sub">Transformers!$B$3:$B$5</definedName>
    <definedName name="Trafo_Substation">[1]Transformers!$B$3:$B$55</definedName>
    <definedName name="Trafotype">[1]Liste!$A$3:$A$4</definedName>
    <definedName name="Transformertype">List!$A$3:$A$5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4" l="1"/>
  <c r="E26" i="4"/>
  <c r="E24" i="4"/>
  <c r="E20" i="4"/>
  <c r="E18" i="4"/>
  <c r="E16" i="4"/>
  <c r="E14" i="4"/>
  <c r="E10" i="4"/>
  <c r="E8" i="4"/>
  <c r="E6" i="4"/>
  <c r="E4" i="4"/>
  <c r="E3" i="4"/>
  <c r="E5" i="4"/>
  <c r="E7" i="4"/>
  <c r="E9" i="4"/>
  <c r="E11" i="4"/>
  <c r="E12" i="4"/>
  <c r="E13" i="4"/>
  <c r="E15" i="4"/>
  <c r="E17" i="4"/>
  <c r="E19" i="4"/>
  <c r="E21" i="4"/>
  <c r="E22" i="4"/>
  <c r="E23" i="4"/>
  <c r="E25" i="4"/>
  <c r="E27" i="4"/>
  <c r="F4" i="4"/>
  <c r="F6" i="4"/>
  <c r="F8" i="4"/>
  <c r="F10" i="4"/>
  <c r="F14" i="4"/>
  <c r="F16" i="4"/>
  <c r="F18" i="4"/>
  <c r="F20" i="4"/>
  <c r="F24" i="4"/>
  <c r="F26" i="4"/>
  <c r="F28" i="4"/>
  <c r="F27" i="4"/>
  <c r="F25" i="4"/>
  <c r="F23" i="4"/>
  <c r="F19" i="4"/>
  <c r="F17" i="4"/>
  <c r="F15" i="4"/>
  <c r="F13" i="4"/>
  <c r="F9" i="4"/>
  <c r="F7" i="4"/>
  <c r="F5" i="4"/>
  <c r="F3" i="4"/>
  <c r="D28" i="4" l="1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B3" i="2" l="1"/>
</calcChain>
</file>

<file path=xl/sharedStrings.xml><?xml version="1.0" encoding="utf-8"?>
<sst xmlns="http://schemas.openxmlformats.org/spreadsheetml/2006/main" count="184" uniqueCount="81">
  <si>
    <t>Nr</t>
  </si>
  <si>
    <t>Name</t>
  </si>
  <si>
    <t>Abbreviation</t>
  </si>
  <si>
    <t>Country Code</t>
  </si>
  <si>
    <t>Latitude</t>
  </si>
  <si>
    <t>Longitude</t>
  </si>
  <si>
    <t>Grounding Resistance</t>
  </si>
  <si>
    <t>Voltage Level</t>
  </si>
  <si>
    <t>Node</t>
  </si>
  <si>
    <t>Degree</t>
  </si>
  <si>
    <t>Ohm</t>
  </si>
  <si>
    <t>Substation</t>
  </si>
  <si>
    <t>Type</t>
  </si>
  <si>
    <t>Resistance HV</t>
  </si>
  <si>
    <t>Resistance LV</t>
  </si>
  <si>
    <t>(Ohms/phase)</t>
  </si>
  <si>
    <t>GY-GY</t>
  </si>
  <si>
    <t>GSU</t>
  </si>
  <si>
    <t>Sub</t>
  </si>
  <si>
    <t>Length</t>
  </si>
  <si>
    <t>Resistance per km</t>
  </si>
  <si>
    <t>Single Line Resistance</t>
  </si>
  <si>
    <t>Voltage</t>
  </si>
  <si>
    <t>Systems</t>
  </si>
  <si>
    <t>Multiple Conductor</t>
  </si>
  <si>
    <t>from</t>
  </si>
  <si>
    <t>to</t>
  </si>
  <si>
    <t>km</t>
  </si>
  <si>
    <t>Ohm/km</t>
  </si>
  <si>
    <t>kV</t>
  </si>
  <si>
    <t>#</t>
  </si>
  <si>
    <t>Transformer Type</t>
  </si>
  <si>
    <t>Sub1</t>
  </si>
  <si>
    <t>Sub2</t>
  </si>
  <si>
    <t>Sub3</t>
  </si>
  <si>
    <t>Sub 1</t>
  </si>
  <si>
    <t>Sub 2</t>
  </si>
  <si>
    <t>Sub 3</t>
  </si>
  <si>
    <t>Auto</t>
  </si>
  <si>
    <t>Sub 4</t>
  </si>
  <si>
    <t>Sub 5</t>
  </si>
  <si>
    <t>Sub 6</t>
  </si>
  <si>
    <t>Sub 7</t>
  </si>
  <si>
    <t>Sub 8</t>
  </si>
  <si>
    <t>Sub4</t>
  </si>
  <si>
    <t>Sub5</t>
  </si>
  <si>
    <t>Sub6</t>
  </si>
  <si>
    <t>Sub7</t>
  </si>
  <si>
    <t>Sub8</t>
  </si>
  <si>
    <t>US</t>
  </si>
  <si>
    <t>GroundingHV</t>
  </si>
  <si>
    <t>GroundingLV</t>
  </si>
  <si>
    <t>nan</t>
  </si>
  <si>
    <t>V_1</t>
  </si>
  <si>
    <t>V_2</t>
  </si>
  <si>
    <t>V_3</t>
  </si>
  <si>
    <t>V_4</t>
  </si>
  <si>
    <t>N_1</t>
  </si>
  <si>
    <t>N_2</t>
  </si>
  <si>
    <t>N_3</t>
  </si>
  <si>
    <t>N_4</t>
  </si>
  <si>
    <t>Neutral</t>
  </si>
  <si>
    <t>Ground</t>
  </si>
  <si>
    <t>V_HV</t>
  </si>
  <si>
    <t>V_LV</t>
  </si>
  <si>
    <t>Mvar/A</t>
  </si>
  <si>
    <t>Q Slope Low</t>
  </si>
  <si>
    <t>Threshold</t>
  </si>
  <si>
    <t>Q Slope High</t>
  </si>
  <si>
    <t>BB Breaker V_1</t>
  </si>
  <si>
    <t>BB Breaker V_2</t>
  </si>
  <si>
    <t>BB Breaker V_3</t>
  </si>
  <si>
    <t>BB Breaker V_4</t>
  </si>
  <si>
    <t>N_5</t>
  </si>
  <si>
    <t>N_6</t>
  </si>
  <si>
    <t>N_7</t>
  </si>
  <si>
    <t>N_8</t>
  </si>
  <si>
    <t>Connected to BB HV</t>
  </si>
  <si>
    <t>Connected to BB LV</t>
  </si>
  <si>
    <t>Connected to BB From</t>
  </si>
  <si>
    <t>Connected to BB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</si>
</sst>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lbedl\_PhD\Matlab\_v13\data\GIC_calculation_template_matlab_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Substations"/>
      <sheetName val="Transformers"/>
      <sheetName val="Lines"/>
      <sheetName val="Liste"/>
      <sheetName val="Results_Idc"/>
      <sheetName val="Results_Ilines"/>
      <sheetName val="E"/>
      <sheetName val="Y"/>
      <sheetName val="I_nodes"/>
      <sheetName val="V"/>
      <sheetName val="USA"/>
      <sheetName val="CHZ"/>
      <sheetName val="AUT"/>
      <sheetName val="AUT2"/>
      <sheetName val="Tabelle1"/>
      <sheetName val="Tabelle2"/>
    </sheetNames>
    <sheetDataSet>
      <sheetData sheetId="0"/>
      <sheetData sheetId="1">
        <row r="3">
          <cell r="A3">
            <v>1</v>
          </cell>
        </row>
      </sheetData>
      <sheetData sheetId="2">
        <row r="3">
          <cell r="B3" t="str">
            <v>VSO</v>
          </cell>
        </row>
        <row r="4">
          <cell r="B4" t="str">
            <v>VSU</v>
          </cell>
        </row>
        <row r="5">
          <cell r="B5" t="str">
            <v>VSR</v>
          </cell>
        </row>
        <row r="6">
          <cell r="B6" t="str">
            <v>VKT</v>
          </cell>
        </row>
        <row r="7">
          <cell r="B7" t="str">
            <v>VOS</v>
          </cell>
        </row>
        <row r="8">
          <cell r="B8" t="str">
            <v>VRS</v>
          </cell>
        </row>
        <row r="9">
          <cell r="B9" t="str">
            <v>VLI</v>
          </cell>
        </row>
        <row r="10">
          <cell r="B10" t="str">
            <v>VTA</v>
          </cell>
        </row>
        <row r="11">
          <cell r="B11" t="str">
            <v>VZZ</v>
          </cell>
        </row>
        <row r="12">
          <cell r="B12" t="str">
            <v>VWT</v>
          </cell>
        </row>
        <row r="13">
          <cell r="B13" t="str">
            <v>VBU</v>
          </cell>
        </row>
        <row r="14">
          <cell r="B14" t="str">
            <v>VSE</v>
          </cell>
        </row>
        <row r="15">
          <cell r="B15" t="str">
            <v>VSP</v>
          </cell>
        </row>
        <row r="16">
          <cell r="B16" t="str">
            <v>VEH</v>
          </cell>
        </row>
        <row r="17">
          <cell r="B17" t="str">
            <v>VDU</v>
          </cell>
        </row>
        <row r="18">
          <cell r="B18" t="str">
            <v>VBI</v>
          </cell>
        </row>
        <row r="19">
          <cell r="B19" t="str">
            <v>VSS</v>
          </cell>
        </row>
        <row r="20">
          <cell r="B20" t="str">
            <v>VWB</v>
          </cell>
        </row>
        <row r="21">
          <cell r="B21" t="str">
            <v>VHE</v>
          </cell>
        </row>
        <row r="22">
          <cell r="B22" t="str">
            <v>VTE</v>
          </cell>
        </row>
        <row r="23">
          <cell r="B23" t="str">
            <v>VZD</v>
          </cell>
        </row>
        <row r="24">
          <cell r="B24" t="str">
            <v>WLG</v>
          </cell>
        </row>
        <row r="25">
          <cell r="B25" t="str">
            <v>VMN</v>
          </cell>
        </row>
        <row r="26">
          <cell r="B26" t="str">
            <v>WERB</v>
          </cell>
        </row>
        <row r="27">
          <cell r="B27" t="str">
            <v>VFL</v>
          </cell>
        </row>
        <row r="28">
          <cell r="B28" t="str">
            <v>VGH</v>
          </cell>
        </row>
        <row r="29">
          <cell r="B29" t="str">
            <v>VMH</v>
          </cell>
        </row>
        <row r="30">
          <cell r="B30" t="str">
            <v>VAS</v>
          </cell>
        </row>
        <row r="31">
          <cell r="B31" t="str">
            <v>VHR</v>
          </cell>
        </row>
        <row r="32">
          <cell r="B32" t="str">
            <v>VSL</v>
          </cell>
        </row>
        <row r="33">
          <cell r="B33" t="str">
            <v>VPY</v>
          </cell>
        </row>
        <row r="34">
          <cell r="B34" t="str">
            <v>VYF</v>
          </cell>
        </row>
        <row r="35">
          <cell r="B35" t="str">
            <v>SCH</v>
          </cell>
        </row>
        <row r="36">
          <cell r="B36" t="str">
            <v>VNS</v>
          </cell>
        </row>
        <row r="37">
          <cell r="B37" t="str">
            <v>VWM</v>
          </cell>
        </row>
        <row r="38">
          <cell r="B38" t="str">
            <v>GYOE</v>
          </cell>
        </row>
        <row r="39">
          <cell r="B39" t="str">
            <v>SZOM</v>
          </cell>
        </row>
        <row r="40">
          <cell r="B40" t="str">
            <v>MARI</v>
          </cell>
        </row>
        <row r="41">
          <cell r="B41" t="str">
            <v>PODL</v>
          </cell>
        </row>
        <row r="42">
          <cell r="B42" t="str">
            <v>SOVE</v>
          </cell>
        </row>
        <row r="43">
          <cell r="B43" t="str">
            <v>PRAD</v>
          </cell>
        </row>
        <row r="44">
          <cell r="B44" t="str">
            <v>WINK</v>
          </cell>
        </row>
        <row r="45">
          <cell r="B45" t="str">
            <v>OMOW</v>
          </cell>
        </row>
        <row r="46">
          <cell r="B46" t="str">
            <v>HERB</v>
          </cell>
        </row>
        <row r="47">
          <cell r="B47" t="str">
            <v>DELL</v>
          </cell>
        </row>
        <row r="48">
          <cell r="B48" t="str">
            <v>MEMM</v>
          </cell>
        </row>
        <row r="49">
          <cell r="B49" t="str">
            <v>LEUP</v>
          </cell>
        </row>
        <row r="50">
          <cell r="B50" t="str">
            <v>SLAV</v>
          </cell>
        </row>
        <row r="51">
          <cell r="B51" t="str">
            <v>SOKO</v>
          </cell>
        </row>
        <row r="52">
          <cell r="B52" t="str">
            <v>PLEI</v>
          </cell>
        </row>
        <row r="53">
          <cell r="B53" t="str">
            <v>ALTH</v>
          </cell>
        </row>
        <row r="54">
          <cell r="B54" t="str">
            <v>PIRA</v>
          </cell>
        </row>
        <row r="55">
          <cell r="B55" t="str">
            <v>JOCH</v>
          </cell>
        </row>
      </sheetData>
      <sheetData sheetId="3"/>
      <sheetData sheetId="4">
        <row r="3">
          <cell r="A3" t="str">
            <v>GY-GY</v>
          </cell>
        </row>
        <row r="4">
          <cell r="A4" t="str">
            <v>GSU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Y10"/>
  <sheetViews>
    <sheetView topLeftCell="B1" zoomScale="145" zoomScaleNormal="145" workbookViewId="0">
      <selection activeCell="L14" sqref="L14"/>
    </sheetView>
  </sheetViews>
  <sheetFormatPr defaultColWidth="11.42578125" defaultRowHeight="9.9499999999999993" customHeight="1" x14ac:dyDescent="0.25"/>
  <cols>
    <col min="1" max="1" width="2.7109375" style="11" bestFit="1" customWidth="1"/>
    <col min="2" max="2" width="16.7109375" style="11" bestFit="1" customWidth="1"/>
    <col min="3" max="3" width="9.7109375" style="11" bestFit="1" customWidth="1"/>
    <col min="4" max="4" width="10" style="11" bestFit="1" customWidth="1"/>
    <col min="5" max="5" width="9.5703125" style="11" bestFit="1" customWidth="1"/>
    <col min="6" max="6" width="10.28515625" style="11" bestFit="1" customWidth="1"/>
    <col min="7" max="7" width="8" style="11" bestFit="1" customWidth="1"/>
    <col min="8" max="8" width="4.7109375" style="11" bestFit="1" customWidth="1"/>
    <col min="9" max="9" width="4.42578125" style="11" bestFit="1" customWidth="1"/>
    <col min="10" max="11" width="4.42578125" style="11" customWidth="1"/>
    <col min="12" max="12" width="4.7109375" style="11" bestFit="1" customWidth="1"/>
    <col min="13" max="13" width="4.42578125" style="11" bestFit="1" customWidth="1"/>
    <col min="14" max="15" width="4.42578125" style="11" customWidth="1"/>
    <col min="16" max="16" width="6.5703125" style="11" customWidth="1"/>
    <col min="17" max="18" width="5.85546875" style="11" customWidth="1"/>
    <col min="19" max="19" width="3.42578125" style="11" customWidth="1"/>
    <col min="20" max="20" width="5.85546875" style="11" customWidth="1"/>
    <col min="21" max="21" width="8.140625" style="11" customWidth="1"/>
    <col min="22" max="16384" width="11.42578125" style="11"/>
  </cols>
  <sheetData>
    <row r="1" spans="1:25" ht="9.9499999999999993" customHeight="1" x14ac:dyDescent="0.25">
      <c r="A1" s="23" t="s">
        <v>0</v>
      </c>
      <c r="B1" s="23" t="s">
        <v>1</v>
      </c>
      <c r="C1" s="23" t="s">
        <v>2</v>
      </c>
      <c r="D1" s="24" t="s">
        <v>3</v>
      </c>
      <c r="E1" s="4" t="s">
        <v>4</v>
      </c>
      <c r="F1" s="4" t="s">
        <v>5</v>
      </c>
      <c r="G1" s="5" t="s">
        <v>6</v>
      </c>
      <c r="H1" s="24" t="s">
        <v>7</v>
      </c>
      <c r="I1" s="24"/>
      <c r="J1" s="24"/>
      <c r="K1" s="24"/>
      <c r="L1" s="22" t="s">
        <v>8</v>
      </c>
      <c r="M1" s="22"/>
      <c r="N1" s="22"/>
      <c r="O1" s="22"/>
      <c r="P1" s="22"/>
      <c r="Q1" s="22"/>
      <c r="R1" s="22"/>
      <c r="S1" s="22"/>
      <c r="T1" s="22"/>
      <c r="U1" s="22"/>
      <c r="V1" s="22" t="s">
        <v>69</v>
      </c>
      <c r="W1" s="22" t="s">
        <v>70</v>
      </c>
      <c r="X1" s="22" t="s">
        <v>71</v>
      </c>
      <c r="Y1" s="22" t="s">
        <v>72</v>
      </c>
    </row>
    <row r="2" spans="1:25" ht="9.75" customHeight="1" x14ac:dyDescent="0.25">
      <c r="A2" s="23"/>
      <c r="B2" s="23"/>
      <c r="C2" s="23"/>
      <c r="D2" s="24"/>
      <c r="E2" s="4" t="s">
        <v>9</v>
      </c>
      <c r="F2" s="4" t="s">
        <v>9</v>
      </c>
      <c r="G2" s="4" t="s">
        <v>10</v>
      </c>
      <c r="H2" s="4" t="s">
        <v>53</v>
      </c>
      <c r="I2" s="4" t="s">
        <v>54</v>
      </c>
      <c r="J2" s="13" t="s">
        <v>55</v>
      </c>
      <c r="K2" s="13" t="s">
        <v>56</v>
      </c>
      <c r="L2" s="18" t="s">
        <v>57</v>
      </c>
      <c r="M2" s="18" t="s">
        <v>58</v>
      </c>
      <c r="N2" s="18" t="s">
        <v>59</v>
      </c>
      <c r="O2" s="18" t="s">
        <v>60</v>
      </c>
      <c r="P2" s="18" t="s">
        <v>73</v>
      </c>
      <c r="Q2" s="18" t="s">
        <v>74</v>
      </c>
      <c r="R2" s="18" t="s">
        <v>75</v>
      </c>
      <c r="S2" s="18" t="s">
        <v>76</v>
      </c>
      <c r="T2" s="18" t="s">
        <v>61</v>
      </c>
      <c r="U2" s="18" t="s">
        <v>62</v>
      </c>
      <c r="V2" s="22"/>
      <c r="W2" s="22"/>
      <c r="X2" s="22"/>
      <c r="Y2" s="22"/>
    </row>
    <row r="3" spans="1:25" s="6" customFormat="1" ht="9.9499999999999993" customHeight="1" x14ac:dyDescent="0.25">
      <c r="A3" s="3">
        <v>1</v>
      </c>
      <c r="B3" s="3" t="s">
        <v>35</v>
      </c>
      <c r="C3" s="3" t="s">
        <v>32</v>
      </c>
      <c r="D3" s="3" t="s">
        <v>49</v>
      </c>
      <c r="E3" s="9">
        <v>33.613500000000002</v>
      </c>
      <c r="F3" s="9">
        <v>-87.373699999999999</v>
      </c>
      <c r="G3" s="10">
        <v>0.2</v>
      </c>
      <c r="H3" s="3">
        <v>345</v>
      </c>
      <c r="I3" s="3">
        <v>0</v>
      </c>
      <c r="J3" s="3">
        <v>0</v>
      </c>
      <c r="K3" s="3">
        <v>0</v>
      </c>
      <c r="L3" s="11">
        <v>1</v>
      </c>
      <c r="M3" s="11">
        <v>2</v>
      </c>
      <c r="N3" s="11">
        <v>3</v>
      </c>
      <c r="O3" s="11">
        <v>4</v>
      </c>
      <c r="P3" s="11">
        <v>5</v>
      </c>
      <c r="Q3" s="11">
        <v>6</v>
      </c>
      <c r="R3" s="11">
        <v>7</v>
      </c>
      <c r="S3" s="11">
        <v>8</v>
      </c>
      <c r="T3" s="11">
        <v>9</v>
      </c>
      <c r="U3" s="11">
        <v>73</v>
      </c>
      <c r="V3" s="11">
        <v>1</v>
      </c>
      <c r="W3" s="11">
        <v>0</v>
      </c>
      <c r="X3" s="11">
        <v>0</v>
      </c>
      <c r="Y3" s="11">
        <v>0</v>
      </c>
    </row>
    <row r="4" spans="1:25" s="6" customFormat="1" ht="9.9499999999999993" customHeight="1" x14ac:dyDescent="0.25">
      <c r="A4" s="3">
        <v>2</v>
      </c>
      <c r="B4" s="3" t="s">
        <v>36</v>
      </c>
      <c r="C4" s="3" t="s">
        <v>33</v>
      </c>
      <c r="D4" s="3" t="s">
        <v>49</v>
      </c>
      <c r="E4" s="9">
        <v>34.310400000000001</v>
      </c>
      <c r="F4" s="9">
        <v>-86.365799999999993</v>
      </c>
      <c r="G4" s="10">
        <v>0.2</v>
      </c>
      <c r="H4" s="3">
        <v>345</v>
      </c>
      <c r="I4" s="3">
        <v>0</v>
      </c>
      <c r="J4" s="3">
        <v>0</v>
      </c>
      <c r="K4" s="3">
        <v>0</v>
      </c>
      <c r="L4" s="11">
        <v>10</v>
      </c>
      <c r="M4" s="11">
        <v>11</v>
      </c>
      <c r="N4" s="11">
        <v>12</v>
      </c>
      <c r="O4" s="11">
        <v>13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74</v>
      </c>
      <c r="V4" s="11">
        <v>1</v>
      </c>
      <c r="W4" s="11">
        <v>0</v>
      </c>
      <c r="X4" s="11">
        <v>0</v>
      </c>
      <c r="Y4" s="11">
        <v>0</v>
      </c>
    </row>
    <row r="5" spans="1:25" s="6" customFormat="1" ht="9.9499999999999993" customHeight="1" x14ac:dyDescent="0.25">
      <c r="A5" s="3">
        <v>3</v>
      </c>
      <c r="B5" s="3" t="s">
        <v>37</v>
      </c>
      <c r="C5" s="3" t="s">
        <v>34</v>
      </c>
      <c r="D5" s="3" t="s">
        <v>49</v>
      </c>
      <c r="E5" s="9">
        <v>33.955100000000002</v>
      </c>
      <c r="F5" s="9">
        <v>-84.679400000000001</v>
      </c>
      <c r="G5" s="10">
        <v>0.2</v>
      </c>
      <c r="H5" s="3">
        <v>500</v>
      </c>
      <c r="I5" s="3">
        <v>345</v>
      </c>
      <c r="J5" s="3">
        <v>0</v>
      </c>
      <c r="K5" s="3">
        <v>0</v>
      </c>
      <c r="L5" s="11">
        <v>19</v>
      </c>
      <c r="M5" s="11">
        <v>20</v>
      </c>
      <c r="N5" s="11">
        <v>21</v>
      </c>
      <c r="O5" s="11">
        <v>22</v>
      </c>
      <c r="P5" s="11">
        <v>23</v>
      </c>
      <c r="Q5" s="11">
        <v>24</v>
      </c>
      <c r="R5" s="11">
        <v>25</v>
      </c>
      <c r="S5" s="11">
        <v>26</v>
      </c>
      <c r="T5" s="11">
        <v>27</v>
      </c>
      <c r="U5" s="6">
        <v>75</v>
      </c>
      <c r="V5" s="11">
        <v>1</v>
      </c>
      <c r="W5" s="11">
        <v>1</v>
      </c>
      <c r="X5" s="11">
        <v>0</v>
      </c>
      <c r="Y5" s="11">
        <v>0</v>
      </c>
    </row>
    <row r="6" spans="1:25" ht="9.9499999999999993" customHeight="1" x14ac:dyDescent="0.25">
      <c r="A6" s="3">
        <v>4</v>
      </c>
      <c r="B6" s="3" t="s">
        <v>39</v>
      </c>
      <c r="C6" s="3" t="s">
        <v>44</v>
      </c>
      <c r="D6" s="3" t="s">
        <v>49</v>
      </c>
      <c r="E6" s="9">
        <v>33.547899999999998</v>
      </c>
      <c r="F6" s="9">
        <v>-86.074600000000004</v>
      </c>
      <c r="G6" s="10">
        <v>1</v>
      </c>
      <c r="H6" s="11">
        <v>500</v>
      </c>
      <c r="I6" s="11">
        <v>345</v>
      </c>
      <c r="J6" s="11">
        <v>0</v>
      </c>
      <c r="K6" s="11">
        <v>0</v>
      </c>
      <c r="L6" s="11">
        <v>28</v>
      </c>
      <c r="M6" s="11">
        <v>29</v>
      </c>
      <c r="N6" s="11">
        <v>30</v>
      </c>
      <c r="O6" s="11">
        <v>31</v>
      </c>
      <c r="P6" s="11">
        <v>32</v>
      </c>
      <c r="Q6" s="11">
        <v>33</v>
      </c>
      <c r="R6" s="11">
        <v>34</v>
      </c>
      <c r="S6" s="11">
        <v>35</v>
      </c>
      <c r="T6" s="11">
        <v>36</v>
      </c>
      <c r="U6" s="11">
        <v>76</v>
      </c>
      <c r="V6" s="11">
        <v>1</v>
      </c>
      <c r="W6" s="11">
        <v>1</v>
      </c>
      <c r="X6" s="11">
        <v>0</v>
      </c>
      <c r="Y6" s="11">
        <v>0</v>
      </c>
    </row>
    <row r="7" spans="1:25" ht="9.9499999999999993" customHeight="1" x14ac:dyDescent="0.25">
      <c r="A7" s="3">
        <v>5</v>
      </c>
      <c r="B7" s="3" t="s">
        <v>40</v>
      </c>
      <c r="C7" s="3" t="s">
        <v>45</v>
      </c>
      <c r="D7" s="3" t="s">
        <v>49</v>
      </c>
      <c r="E7" s="9">
        <v>32.705100000000002</v>
      </c>
      <c r="F7" s="9">
        <v>-84.663399999999996</v>
      </c>
      <c r="G7" s="10">
        <v>0.1</v>
      </c>
      <c r="H7" s="11">
        <v>500</v>
      </c>
      <c r="I7" s="11">
        <v>345</v>
      </c>
      <c r="J7" s="11">
        <v>0</v>
      </c>
      <c r="K7" s="11">
        <v>0</v>
      </c>
      <c r="L7" s="11">
        <v>37</v>
      </c>
      <c r="M7" s="11">
        <v>38</v>
      </c>
      <c r="N7" s="11">
        <v>39</v>
      </c>
      <c r="O7" s="11">
        <v>40</v>
      </c>
      <c r="P7" s="11">
        <v>41</v>
      </c>
      <c r="Q7" s="11">
        <v>42</v>
      </c>
      <c r="R7" s="11">
        <v>43</v>
      </c>
      <c r="S7" s="11">
        <v>44</v>
      </c>
      <c r="T7" s="11">
        <v>45</v>
      </c>
      <c r="U7" s="11">
        <v>77</v>
      </c>
      <c r="V7" s="11">
        <v>1</v>
      </c>
      <c r="W7" s="11">
        <v>1</v>
      </c>
      <c r="X7" s="11">
        <v>0</v>
      </c>
      <c r="Y7" s="11">
        <v>0</v>
      </c>
    </row>
    <row r="8" spans="1:25" ht="9.9499999999999993" customHeight="1" x14ac:dyDescent="0.25">
      <c r="A8" s="3">
        <v>6</v>
      </c>
      <c r="B8" s="3" t="s">
        <v>41</v>
      </c>
      <c r="C8" s="3" t="s">
        <v>46</v>
      </c>
      <c r="D8" s="3" t="s">
        <v>49</v>
      </c>
      <c r="E8" s="9">
        <v>33.377299999999998</v>
      </c>
      <c r="F8" s="9">
        <v>-82.618799999999993</v>
      </c>
      <c r="G8" s="10">
        <v>0.1</v>
      </c>
      <c r="H8" s="11">
        <v>500</v>
      </c>
      <c r="I8" s="11">
        <v>0</v>
      </c>
      <c r="J8" s="11">
        <v>0</v>
      </c>
      <c r="K8" s="11">
        <v>0</v>
      </c>
      <c r="L8" s="11">
        <v>46</v>
      </c>
      <c r="M8" s="11">
        <v>47</v>
      </c>
      <c r="N8" s="11">
        <v>48</v>
      </c>
      <c r="O8" s="11">
        <v>49</v>
      </c>
      <c r="P8" s="11">
        <v>50</v>
      </c>
      <c r="Q8" s="11">
        <v>51</v>
      </c>
      <c r="R8" s="11">
        <v>52</v>
      </c>
      <c r="S8" s="11">
        <v>53</v>
      </c>
      <c r="T8" s="11">
        <v>54</v>
      </c>
      <c r="U8" s="6">
        <v>78</v>
      </c>
      <c r="V8" s="11">
        <v>1</v>
      </c>
      <c r="W8" s="11">
        <v>0</v>
      </c>
      <c r="X8" s="11">
        <v>0</v>
      </c>
      <c r="Y8" s="11">
        <v>0</v>
      </c>
    </row>
    <row r="9" spans="1:25" ht="9.9499999999999993" customHeight="1" x14ac:dyDescent="0.25">
      <c r="A9" s="3">
        <v>7</v>
      </c>
      <c r="B9" s="3" t="s">
        <v>42</v>
      </c>
      <c r="C9" s="3" t="s">
        <v>47</v>
      </c>
      <c r="D9" s="3" t="s">
        <v>49</v>
      </c>
      <c r="E9" s="9">
        <v>34.252200000000002</v>
      </c>
      <c r="F9" s="9">
        <v>-82.836299999999994</v>
      </c>
      <c r="G9" s="10">
        <v>99999999</v>
      </c>
      <c r="H9" s="11">
        <v>500</v>
      </c>
      <c r="I9" s="11">
        <v>0</v>
      </c>
      <c r="J9" s="11">
        <v>0</v>
      </c>
      <c r="K9" s="11">
        <v>0</v>
      </c>
      <c r="L9" s="11">
        <v>55</v>
      </c>
      <c r="M9" s="11">
        <v>56</v>
      </c>
      <c r="N9" s="11">
        <v>57</v>
      </c>
      <c r="O9" s="11">
        <v>58</v>
      </c>
      <c r="P9" s="11">
        <v>59</v>
      </c>
      <c r="Q9" s="11">
        <v>60</v>
      </c>
      <c r="R9" s="11">
        <v>61</v>
      </c>
      <c r="S9" s="11">
        <v>62</v>
      </c>
      <c r="T9" s="11">
        <v>63</v>
      </c>
      <c r="U9" s="11">
        <v>79</v>
      </c>
      <c r="V9" s="11">
        <v>1</v>
      </c>
      <c r="W9" s="11">
        <v>0</v>
      </c>
      <c r="X9" s="11">
        <v>0</v>
      </c>
      <c r="Y9" s="11">
        <v>0</v>
      </c>
    </row>
    <row r="10" spans="1:25" ht="9.9499999999999993" customHeight="1" x14ac:dyDescent="0.25">
      <c r="A10" s="3">
        <v>8</v>
      </c>
      <c r="B10" s="3" t="s">
        <v>43</v>
      </c>
      <c r="C10" s="3" t="s">
        <v>48</v>
      </c>
      <c r="D10" s="3" t="s">
        <v>49</v>
      </c>
      <c r="E10" s="9">
        <v>34.195599999999999</v>
      </c>
      <c r="F10" s="9">
        <v>-81.097999999999999</v>
      </c>
      <c r="G10" s="10">
        <v>0.1</v>
      </c>
      <c r="H10" s="11">
        <v>500</v>
      </c>
      <c r="I10" s="11">
        <v>0</v>
      </c>
      <c r="J10" s="11">
        <v>0</v>
      </c>
      <c r="K10" s="11">
        <v>0</v>
      </c>
      <c r="L10" s="11">
        <v>64</v>
      </c>
      <c r="M10" s="11">
        <v>65</v>
      </c>
      <c r="N10" s="11">
        <v>66</v>
      </c>
      <c r="O10" s="11">
        <v>67</v>
      </c>
      <c r="P10" s="11">
        <v>68</v>
      </c>
      <c r="Q10" s="11">
        <v>69</v>
      </c>
      <c r="R10" s="11">
        <v>70</v>
      </c>
      <c r="S10" s="11">
        <v>71</v>
      </c>
      <c r="T10" s="11">
        <v>72</v>
      </c>
      <c r="U10" s="11">
        <v>80</v>
      </c>
      <c r="V10" s="11">
        <v>1</v>
      </c>
      <c r="W10" s="11">
        <v>0</v>
      </c>
      <c r="X10" s="11">
        <v>0</v>
      </c>
      <c r="Y10" s="11">
        <v>0</v>
      </c>
    </row>
  </sheetData>
  <mergeCells count="10">
    <mergeCell ref="V1:V2"/>
    <mergeCell ref="W1:W2"/>
    <mergeCell ref="X1:X2"/>
    <mergeCell ref="Y1:Y2"/>
    <mergeCell ref="A1:A2"/>
    <mergeCell ref="B1:B2"/>
    <mergeCell ref="C1:C2"/>
    <mergeCell ref="D1:D2"/>
    <mergeCell ref="H1:K1"/>
    <mergeCell ref="L1:U1"/>
  </mergeCells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N17"/>
  <sheetViews>
    <sheetView zoomScale="130" zoomScaleNormal="130" workbookViewId="0">
      <selection activeCell="F28" sqref="F28"/>
    </sheetView>
  </sheetViews>
  <sheetFormatPr defaultColWidth="11.42578125" defaultRowHeight="9.9499999999999993" customHeight="1" x14ac:dyDescent="0.25"/>
  <cols>
    <col min="1" max="1" width="5.5703125" style="11" customWidth="1"/>
    <col min="2" max="2" width="11.42578125" style="11" customWidth="1"/>
    <col min="3" max="3" width="11" style="11" customWidth="1"/>
    <col min="4" max="4" width="15" style="11" customWidth="1"/>
    <col min="5" max="5" width="14.28515625" style="11" customWidth="1"/>
    <col min="6" max="16384" width="11.42578125" style="11"/>
  </cols>
  <sheetData>
    <row r="1" spans="1:14" ht="9.9499999999999993" customHeight="1" x14ac:dyDescent="0.25">
      <c r="A1" s="25" t="s">
        <v>0</v>
      </c>
      <c r="B1" s="25" t="s">
        <v>11</v>
      </c>
      <c r="C1" s="25" t="s">
        <v>12</v>
      </c>
      <c r="D1" s="7" t="s">
        <v>13</v>
      </c>
      <c r="E1" s="7" t="s">
        <v>14</v>
      </c>
      <c r="F1" s="14" t="s">
        <v>50</v>
      </c>
      <c r="G1" s="14" t="s">
        <v>51</v>
      </c>
      <c r="H1" s="25" t="s">
        <v>7</v>
      </c>
      <c r="I1" s="25"/>
      <c r="J1" s="15" t="s">
        <v>66</v>
      </c>
      <c r="K1" s="16" t="s">
        <v>67</v>
      </c>
      <c r="L1" s="16" t="s">
        <v>68</v>
      </c>
      <c r="M1" s="17" t="s">
        <v>77</v>
      </c>
      <c r="N1" s="17" t="s">
        <v>78</v>
      </c>
    </row>
    <row r="2" spans="1:14" ht="9.9499999999999993" customHeight="1" x14ac:dyDescent="0.25">
      <c r="A2" s="25"/>
      <c r="B2" s="25"/>
      <c r="C2" s="25"/>
      <c r="D2" s="7" t="s">
        <v>15</v>
      </c>
      <c r="E2" s="7" t="s">
        <v>15</v>
      </c>
      <c r="F2" s="14" t="s">
        <v>52</v>
      </c>
      <c r="G2" s="14" t="s">
        <v>52</v>
      </c>
      <c r="H2" s="14" t="s">
        <v>63</v>
      </c>
      <c r="I2" s="14" t="s">
        <v>64</v>
      </c>
      <c r="J2" s="15" t="s">
        <v>65</v>
      </c>
      <c r="K2" s="16" t="s">
        <v>65</v>
      </c>
      <c r="L2" s="16" t="s">
        <v>65</v>
      </c>
      <c r="M2" s="17" t="s">
        <v>52</v>
      </c>
      <c r="N2" s="17" t="s">
        <v>52</v>
      </c>
    </row>
    <row r="3" spans="1:14" ht="9.9499999999999993" customHeight="1" x14ac:dyDescent="0.25">
      <c r="A3" s="2">
        <v>1</v>
      </c>
      <c r="B3" s="2" t="str">
        <f>Substations!C3</f>
        <v>Sub1</v>
      </c>
      <c r="C3" s="6" t="s">
        <v>17</v>
      </c>
      <c r="D3" s="6">
        <v>99999999</v>
      </c>
      <c r="E3" s="6">
        <v>0</v>
      </c>
      <c r="F3" s="11">
        <v>1</v>
      </c>
      <c r="G3" s="11">
        <v>0</v>
      </c>
      <c r="H3" s="3">
        <v>345</v>
      </c>
      <c r="I3" s="3">
        <v>0</v>
      </c>
      <c r="J3" s="11">
        <v>0.15</v>
      </c>
      <c r="K3" s="11">
        <v>20</v>
      </c>
      <c r="L3" s="11">
        <v>0.2</v>
      </c>
      <c r="M3" s="11">
        <v>1</v>
      </c>
      <c r="N3" s="11">
        <v>1</v>
      </c>
    </row>
    <row r="4" spans="1:14" ht="9.9499999999999993" customHeight="1" x14ac:dyDescent="0.25">
      <c r="A4" s="2">
        <v>2</v>
      </c>
      <c r="B4" s="2" t="s">
        <v>44</v>
      </c>
      <c r="C4" s="6" t="s">
        <v>16</v>
      </c>
      <c r="D4" s="6">
        <v>0.2</v>
      </c>
      <c r="E4" s="6">
        <v>0.1</v>
      </c>
      <c r="F4" s="11">
        <v>1</v>
      </c>
      <c r="G4" s="11">
        <v>0</v>
      </c>
      <c r="H4" s="3">
        <v>500</v>
      </c>
      <c r="I4" s="3">
        <v>345</v>
      </c>
      <c r="J4" s="11">
        <v>0.15</v>
      </c>
      <c r="K4" s="11">
        <v>20</v>
      </c>
      <c r="L4" s="11">
        <v>0.2</v>
      </c>
      <c r="M4" s="11">
        <v>2</v>
      </c>
      <c r="N4" s="11">
        <v>2</v>
      </c>
    </row>
    <row r="5" spans="1:14" ht="9.9499999999999993" customHeight="1" x14ac:dyDescent="0.25">
      <c r="A5" s="2">
        <v>3</v>
      </c>
      <c r="B5" s="2" t="s">
        <v>33</v>
      </c>
      <c r="C5" s="6" t="s">
        <v>17</v>
      </c>
      <c r="D5" s="6">
        <v>0.1</v>
      </c>
      <c r="E5" s="6">
        <v>0</v>
      </c>
      <c r="F5" s="11">
        <v>1</v>
      </c>
      <c r="G5" s="11">
        <v>0</v>
      </c>
      <c r="H5" s="3">
        <v>345</v>
      </c>
      <c r="I5" s="3">
        <v>0</v>
      </c>
      <c r="J5" s="11">
        <v>0.15</v>
      </c>
      <c r="K5" s="11">
        <v>20</v>
      </c>
      <c r="L5" s="11">
        <v>0.2</v>
      </c>
      <c r="M5" s="11">
        <v>1</v>
      </c>
      <c r="N5" s="11">
        <v>1</v>
      </c>
    </row>
    <row r="6" spans="1:14" ht="9.9499999999999993" customHeight="1" x14ac:dyDescent="0.25">
      <c r="A6" s="2">
        <v>4</v>
      </c>
      <c r="B6" s="2" t="s">
        <v>33</v>
      </c>
      <c r="C6" s="11" t="s">
        <v>17</v>
      </c>
      <c r="D6" s="6">
        <v>0.1</v>
      </c>
      <c r="E6" s="6">
        <v>0</v>
      </c>
      <c r="F6" s="11">
        <v>1</v>
      </c>
      <c r="G6" s="11">
        <v>0</v>
      </c>
      <c r="H6" s="3">
        <v>345</v>
      </c>
      <c r="I6" s="3">
        <v>0</v>
      </c>
      <c r="J6" s="11">
        <v>0.15</v>
      </c>
      <c r="K6" s="11">
        <v>20</v>
      </c>
      <c r="L6" s="11">
        <v>0.2</v>
      </c>
      <c r="M6" s="11">
        <v>2</v>
      </c>
      <c r="N6" s="11">
        <v>2</v>
      </c>
    </row>
    <row r="7" spans="1:14" ht="9.9499999999999993" customHeight="1" x14ac:dyDescent="0.25">
      <c r="A7" s="2">
        <v>5</v>
      </c>
      <c r="B7" s="2" t="s">
        <v>34</v>
      </c>
      <c r="C7" s="11" t="s">
        <v>38</v>
      </c>
      <c r="D7" s="6">
        <v>0.04</v>
      </c>
      <c r="E7" s="6">
        <v>0.06</v>
      </c>
      <c r="F7" s="11">
        <v>1</v>
      </c>
      <c r="G7" s="11">
        <v>0</v>
      </c>
      <c r="H7" s="3">
        <v>500</v>
      </c>
      <c r="I7" s="3">
        <v>345</v>
      </c>
      <c r="J7" s="11">
        <v>0.15</v>
      </c>
      <c r="K7" s="11">
        <v>20</v>
      </c>
      <c r="L7" s="11">
        <v>0.2</v>
      </c>
      <c r="M7" s="11">
        <v>1</v>
      </c>
      <c r="N7" s="11">
        <v>1</v>
      </c>
    </row>
    <row r="8" spans="1:14" ht="9.9499999999999993" customHeight="1" x14ac:dyDescent="0.25">
      <c r="A8" s="2">
        <v>6</v>
      </c>
      <c r="B8" s="2" t="s">
        <v>46</v>
      </c>
      <c r="C8" s="11" t="s">
        <v>17</v>
      </c>
      <c r="D8" s="6">
        <v>0.15</v>
      </c>
      <c r="E8" s="6">
        <v>0</v>
      </c>
      <c r="F8" s="11">
        <v>1</v>
      </c>
      <c r="G8" s="11">
        <v>0</v>
      </c>
      <c r="H8" s="11">
        <v>500</v>
      </c>
      <c r="I8" s="11">
        <v>0</v>
      </c>
      <c r="J8" s="11">
        <v>0.15</v>
      </c>
      <c r="K8" s="11">
        <v>20</v>
      </c>
      <c r="L8" s="11">
        <v>0.2</v>
      </c>
      <c r="M8" s="11">
        <v>2</v>
      </c>
      <c r="N8" s="11">
        <v>2</v>
      </c>
    </row>
    <row r="9" spans="1:14" ht="9.9499999999999993" customHeight="1" x14ac:dyDescent="0.25">
      <c r="A9" s="2">
        <v>7</v>
      </c>
      <c r="B9" s="2" t="s">
        <v>46</v>
      </c>
      <c r="C9" s="11" t="s">
        <v>17</v>
      </c>
      <c r="D9" s="6">
        <v>0.15</v>
      </c>
      <c r="E9" s="6">
        <v>0</v>
      </c>
      <c r="F9" s="11">
        <v>1</v>
      </c>
      <c r="G9" s="11">
        <v>0</v>
      </c>
      <c r="H9" s="11">
        <v>500</v>
      </c>
      <c r="I9" s="11">
        <v>0</v>
      </c>
      <c r="J9" s="11">
        <v>0.15</v>
      </c>
      <c r="K9" s="11">
        <v>20</v>
      </c>
      <c r="L9" s="11">
        <v>0.2</v>
      </c>
      <c r="M9" s="11">
        <v>1</v>
      </c>
      <c r="N9" s="11">
        <v>1</v>
      </c>
    </row>
    <row r="10" spans="1:14" ht="9.9499999999999993" customHeight="1" x14ac:dyDescent="0.25">
      <c r="A10" s="2">
        <v>8</v>
      </c>
      <c r="B10" s="2" t="s">
        <v>45</v>
      </c>
      <c r="C10" s="11" t="s">
        <v>16</v>
      </c>
      <c r="D10" s="6">
        <v>0.04</v>
      </c>
      <c r="E10" s="6">
        <v>0.06</v>
      </c>
      <c r="F10" s="11">
        <v>1</v>
      </c>
      <c r="G10" s="11">
        <v>0</v>
      </c>
      <c r="H10" s="3">
        <v>500</v>
      </c>
      <c r="I10" s="3">
        <v>345</v>
      </c>
      <c r="J10" s="11">
        <v>0.15</v>
      </c>
      <c r="K10" s="11">
        <v>20</v>
      </c>
      <c r="L10" s="11">
        <v>0.2</v>
      </c>
      <c r="M10" s="11">
        <v>2</v>
      </c>
      <c r="N10" s="11">
        <v>2</v>
      </c>
    </row>
    <row r="11" spans="1:14" ht="9.9499999999999993" customHeight="1" x14ac:dyDescent="0.25">
      <c r="A11" s="2">
        <v>9</v>
      </c>
      <c r="B11" s="2" t="s">
        <v>45</v>
      </c>
      <c r="C11" s="11" t="s">
        <v>16</v>
      </c>
      <c r="D11" s="6">
        <v>0.04</v>
      </c>
      <c r="E11" s="6">
        <v>0.06</v>
      </c>
      <c r="F11" s="11">
        <v>1</v>
      </c>
      <c r="G11" s="11">
        <v>0</v>
      </c>
      <c r="H11" s="3">
        <v>500</v>
      </c>
      <c r="I11" s="3">
        <v>345</v>
      </c>
      <c r="J11" s="11">
        <v>0.15</v>
      </c>
      <c r="K11" s="11">
        <v>20</v>
      </c>
      <c r="L11" s="11">
        <v>0.2</v>
      </c>
      <c r="M11" s="11">
        <v>1</v>
      </c>
      <c r="N11" s="11">
        <v>1</v>
      </c>
    </row>
    <row r="12" spans="1:14" ht="9.9499999999999993" customHeight="1" x14ac:dyDescent="0.25">
      <c r="A12" s="2">
        <v>10</v>
      </c>
      <c r="B12" s="2" t="s">
        <v>48</v>
      </c>
      <c r="C12" s="11" t="s">
        <v>17</v>
      </c>
      <c r="D12" s="6">
        <v>0.1</v>
      </c>
      <c r="E12" s="6">
        <v>0</v>
      </c>
      <c r="F12" s="11">
        <v>1</v>
      </c>
      <c r="G12" s="11">
        <v>0</v>
      </c>
      <c r="H12" s="11">
        <v>500</v>
      </c>
      <c r="I12" s="11">
        <v>0</v>
      </c>
      <c r="J12" s="11">
        <v>0.15</v>
      </c>
      <c r="K12" s="11">
        <v>20</v>
      </c>
      <c r="L12" s="11">
        <v>0.2</v>
      </c>
      <c r="M12" s="11">
        <v>2</v>
      </c>
      <c r="N12" s="11">
        <v>2</v>
      </c>
    </row>
    <row r="13" spans="1:14" ht="9.9499999999999993" customHeight="1" x14ac:dyDescent="0.25">
      <c r="A13" s="2">
        <v>11</v>
      </c>
      <c r="B13" s="2" t="s">
        <v>48</v>
      </c>
      <c r="C13" s="11" t="s">
        <v>17</v>
      </c>
      <c r="D13" s="6">
        <v>0.1</v>
      </c>
      <c r="E13" s="6">
        <v>0</v>
      </c>
      <c r="F13" s="11">
        <v>1</v>
      </c>
      <c r="G13" s="11">
        <v>0</v>
      </c>
      <c r="H13" s="11">
        <v>500</v>
      </c>
      <c r="I13" s="11">
        <v>0</v>
      </c>
      <c r="J13" s="11">
        <v>0.15</v>
      </c>
      <c r="K13" s="11">
        <v>20</v>
      </c>
      <c r="L13" s="11">
        <v>0.2</v>
      </c>
      <c r="M13" s="11">
        <v>1</v>
      </c>
      <c r="N13" s="11">
        <v>1</v>
      </c>
    </row>
    <row r="14" spans="1:14" ht="9.9499999999999993" customHeight="1" x14ac:dyDescent="0.25">
      <c r="A14" s="2">
        <v>12</v>
      </c>
      <c r="B14" s="2" t="s">
        <v>44</v>
      </c>
      <c r="C14" s="11" t="s">
        <v>38</v>
      </c>
      <c r="D14" s="6">
        <v>0.04</v>
      </c>
      <c r="E14" s="6">
        <v>0.06</v>
      </c>
      <c r="F14" s="11">
        <v>1</v>
      </c>
      <c r="G14" s="11">
        <v>0</v>
      </c>
      <c r="H14" s="3">
        <v>500</v>
      </c>
      <c r="I14" s="3">
        <v>345</v>
      </c>
      <c r="J14" s="11">
        <v>0.15</v>
      </c>
      <c r="K14" s="11">
        <v>20</v>
      </c>
      <c r="L14" s="11">
        <v>0.2</v>
      </c>
      <c r="M14" s="11">
        <v>2</v>
      </c>
      <c r="N14" s="11">
        <v>2</v>
      </c>
    </row>
    <row r="15" spans="1:14" ht="9.9499999999999993" customHeight="1" x14ac:dyDescent="0.25">
      <c r="A15" s="2">
        <v>13</v>
      </c>
      <c r="B15" s="2" t="s">
        <v>44</v>
      </c>
      <c r="C15" s="11" t="s">
        <v>16</v>
      </c>
      <c r="D15" s="6">
        <v>0.2</v>
      </c>
      <c r="E15" s="6">
        <v>0.1</v>
      </c>
      <c r="F15" s="11">
        <v>1</v>
      </c>
      <c r="G15" s="11">
        <v>0</v>
      </c>
      <c r="H15" s="3">
        <v>500</v>
      </c>
      <c r="I15" s="3">
        <v>345</v>
      </c>
      <c r="J15" s="11">
        <v>0.15</v>
      </c>
      <c r="K15" s="11">
        <v>20</v>
      </c>
      <c r="L15" s="11">
        <v>0.2</v>
      </c>
      <c r="M15" s="11">
        <v>1</v>
      </c>
      <c r="N15" s="11">
        <v>1</v>
      </c>
    </row>
    <row r="16" spans="1:14" ht="9.9499999999999993" customHeight="1" x14ac:dyDescent="0.25">
      <c r="A16" s="2">
        <v>14</v>
      </c>
      <c r="B16" s="2" t="s">
        <v>44</v>
      </c>
      <c r="C16" s="11" t="s">
        <v>38</v>
      </c>
      <c r="D16" s="6">
        <v>0.04</v>
      </c>
      <c r="E16" s="6">
        <v>0.06</v>
      </c>
      <c r="F16" s="11">
        <v>1</v>
      </c>
      <c r="G16" s="11">
        <v>0</v>
      </c>
      <c r="H16" s="3">
        <v>500</v>
      </c>
      <c r="I16" s="3">
        <v>345</v>
      </c>
      <c r="J16" s="11">
        <v>0.15</v>
      </c>
      <c r="K16" s="11">
        <v>20</v>
      </c>
      <c r="L16" s="11">
        <v>0.2</v>
      </c>
      <c r="M16" s="11">
        <v>2</v>
      </c>
      <c r="N16" s="11">
        <v>2</v>
      </c>
    </row>
    <row r="17" spans="1:14" ht="9.9499999999999993" customHeight="1" x14ac:dyDescent="0.25">
      <c r="A17" s="2">
        <v>15</v>
      </c>
      <c r="B17" s="2" t="s">
        <v>34</v>
      </c>
      <c r="C17" s="11" t="s">
        <v>38</v>
      </c>
      <c r="D17" s="6">
        <v>0.04</v>
      </c>
      <c r="E17" s="6">
        <v>0.06</v>
      </c>
      <c r="F17" s="11">
        <v>1</v>
      </c>
      <c r="G17" s="11">
        <v>0</v>
      </c>
      <c r="H17" s="3">
        <v>500</v>
      </c>
      <c r="I17" s="3">
        <v>345</v>
      </c>
      <c r="J17" s="11">
        <v>0.15</v>
      </c>
      <c r="K17" s="11">
        <v>20</v>
      </c>
      <c r="L17" s="11">
        <v>0.2</v>
      </c>
      <c r="M17" s="11">
        <v>1</v>
      </c>
      <c r="N17" s="11">
        <v>1</v>
      </c>
    </row>
  </sheetData>
  <mergeCells count="4">
    <mergeCell ref="A1:A2"/>
    <mergeCell ref="B1:B2"/>
    <mergeCell ref="C1:C2"/>
    <mergeCell ref="H1:I1"/>
  </mergeCells>
  <dataValidations disablePrompts="1" count="2">
    <dataValidation type="list" allowBlank="1" showInputMessage="1" showErrorMessage="1" sqref="C3:C17" xr:uid="{00000000-0002-0000-0100-000000000000}">
      <formula1>Transformertype</formula1>
    </dataValidation>
    <dataValidation type="list" allowBlank="1" showInputMessage="1" showErrorMessage="1" sqref="B3:B21" xr:uid="{00000000-0002-0000-0100-000001000000}">
      <formula1>Sub_abbr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K28"/>
  <sheetViews>
    <sheetView tabSelected="1" zoomScale="190" zoomScaleNormal="190" workbookViewId="0">
      <selection activeCell="L10" sqref="L10"/>
    </sheetView>
  </sheetViews>
  <sheetFormatPr defaultColWidth="11.42578125" defaultRowHeight="9.9499999999999993" customHeight="1" x14ac:dyDescent="0.25"/>
  <cols>
    <col min="1" max="1" width="8.5703125" style="11" bestFit="1" customWidth="1"/>
    <col min="2" max="2" width="4.5703125" style="11" bestFit="1" customWidth="1"/>
    <col min="3" max="3" width="5.7109375" style="11" bestFit="1" customWidth="1"/>
    <col min="4" max="4" width="10.85546875"/>
    <col min="5" max="5" width="12.85546875" style="11" bestFit="1" customWidth="1"/>
    <col min="6" max="6" width="15.42578125" style="11" bestFit="1" customWidth="1"/>
    <col min="7" max="7" width="6.140625" style="11" bestFit="1" customWidth="1"/>
    <col min="8" max="8" width="6.28515625" style="11" bestFit="1" customWidth="1"/>
    <col min="9" max="9" width="14.140625" style="11" bestFit="1" customWidth="1"/>
    <col min="10" max="10" width="18.7109375" style="11" customWidth="1"/>
    <col min="11" max="11" width="16.140625" style="11" customWidth="1"/>
    <col min="12" max="16384" width="11.42578125" style="11"/>
  </cols>
  <sheetData>
    <row r="1" spans="1:11" ht="9.9499999999999993" customHeight="1" x14ac:dyDescent="0.25">
      <c r="A1" s="23" t="s">
        <v>0</v>
      </c>
      <c r="B1" s="8" t="s">
        <v>18</v>
      </c>
      <c r="C1" s="8" t="s">
        <v>18</v>
      </c>
      <c r="D1" s="12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17" t="s">
        <v>79</v>
      </c>
      <c r="K1" s="21" t="s">
        <v>80</v>
      </c>
    </row>
    <row r="2" spans="1:11" ht="9.9499999999999993" customHeight="1" x14ac:dyDescent="0.25">
      <c r="A2" s="23"/>
      <c r="B2" s="8" t="s">
        <v>25</v>
      </c>
      <c r="C2" s="8" t="s">
        <v>26</v>
      </c>
      <c r="D2" s="12" t="s">
        <v>27</v>
      </c>
      <c r="E2" s="8" t="s">
        <v>28</v>
      </c>
      <c r="F2" s="8" t="s">
        <v>10</v>
      </c>
      <c r="G2" s="8" t="s">
        <v>29</v>
      </c>
      <c r="H2" s="8" t="s">
        <v>30</v>
      </c>
      <c r="I2" s="1" t="s">
        <v>30</v>
      </c>
      <c r="J2" s="17" t="s">
        <v>52</v>
      </c>
      <c r="K2" s="21" t="s">
        <v>52</v>
      </c>
    </row>
    <row r="3" spans="1:11" s="6" customFormat="1" ht="9.9499999999999993" customHeight="1" x14ac:dyDescent="0.25">
      <c r="A3" s="3">
        <v>1</v>
      </c>
      <c r="B3" s="3" t="s">
        <v>32</v>
      </c>
      <c r="C3" s="3" t="s">
        <v>44</v>
      </c>
      <c r="D3" s="6">
        <f>77.18*1.609344</f>
        <v>124.20916992000002</v>
      </c>
      <c r="E3" s="20">
        <f>0.0455040165846074*2</f>
        <v>9.1008033169214797E-2</v>
      </c>
      <c r="F3" s="19">
        <f>3.512*2</f>
        <v>7.024</v>
      </c>
      <c r="G3" s="10">
        <v>345</v>
      </c>
      <c r="H3" s="3">
        <v>1</v>
      </c>
      <c r="I3" s="3">
        <v>1</v>
      </c>
      <c r="J3" s="11">
        <v>1</v>
      </c>
      <c r="K3" s="11">
        <v>1</v>
      </c>
    </row>
    <row r="4" spans="1:11" s="6" customFormat="1" ht="9.9499999999999993" customHeight="1" x14ac:dyDescent="0.25">
      <c r="A4" s="3">
        <v>2</v>
      </c>
      <c r="B4" s="3" t="s">
        <v>32</v>
      </c>
      <c r="C4" s="3" t="s">
        <v>44</v>
      </c>
      <c r="D4" s="6">
        <f>77.18*1.609344</f>
        <v>124.20916992000002</v>
      </c>
      <c r="E4" s="20">
        <f>0.0455040165846074*2</f>
        <v>9.1008033169214797E-2</v>
      </c>
      <c r="F4" s="19">
        <f>3.512*2</f>
        <v>7.024</v>
      </c>
      <c r="G4" s="10">
        <v>345</v>
      </c>
      <c r="H4" s="3">
        <v>1</v>
      </c>
      <c r="I4" s="3">
        <v>1</v>
      </c>
      <c r="J4" s="11">
        <v>2</v>
      </c>
      <c r="K4" s="11">
        <v>2</v>
      </c>
    </row>
    <row r="5" spans="1:11" s="6" customFormat="1" ht="9.9499999999999993" customHeight="1" x14ac:dyDescent="0.25">
      <c r="A5" s="3">
        <v>3</v>
      </c>
      <c r="B5" s="3" t="s">
        <v>32</v>
      </c>
      <c r="C5" s="3" t="s">
        <v>33</v>
      </c>
      <c r="D5" s="6">
        <f>77.47*1.609344</f>
        <v>124.67587968000001</v>
      </c>
      <c r="E5" s="20">
        <f>0.0455014844455918*2</f>
        <v>9.1002968891183603E-2</v>
      </c>
      <c r="F5" s="19">
        <f>3.525*2</f>
        <v>7.05</v>
      </c>
      <c r="G5" s="10">
        <v>345</v>
      </c>
      <c r="H5" s="3">
        <v>1</v>
      </c>
      <c r="I5" s="3">
        <v>1</v>
      </c>
      <c r="J5" s="11">
        <v>1</v>
      </c>
      <c r="K5" s="11">
        <v>1</v>
      </c>
    </row>
    <row r="6" spans="1:11" s="6" customFormat="1" ht="9.9499999999999993" customHeight="1" x14ac:dyDescent="0.25">
      <c r="A6" s="3">
        <v>4</v>
      </c>
      <c r="B6" s="3" t="s">
        <v>32</v>
      </c>
      <c r="C6" s="3" t="s">
        <v>33</v>
      </c>
      <c r="D6" s="6">
        <f>77.47*1.609344</f>
        <v>124.67587968000001</v>
      </c>
      <c r="E6" s="20">
        <f>0.0455014844455918*2</f>
        <v>9.1002968891183603E-2</v>
      </c>
      <c r="F6" s="19">
        <f>3.525*2</f>
        <v>7.05</v>
      </c>
      <c r="G6" s="10">
        <v>345</v>
      </c>
      <c r="H6" s="3">
        <v>1</v>
      </c>
      <c r="I6" s="3">
        <v>1</v>
      </c>
      <c r="J6" s="11">
        <v>2</v>
      </c>
      <c r="K6" s="11">
        <v>2</v>
      </c>
    </row>
    <row r="7" spans="1:11" ht="9.9499999999999993" customHeight="1" x14ac:dyDescent="0.25">
      <c r="A7" s="3">
        <v>5</v>
      </c>
      <c r="B7" s="11" t="s">
        <v>34</v>
      </c>
      <c r="C7" s="11" t="s">
        <v>44</v>
      </c>
      <c r="D7" s="6">
        <f>87.51*1.609344</f>
        <v>140.83369344000002</v>
      </c>
      <c r="E7" s="20">
        <f>0.0226945491943778*2</f>
        <v>4.53890983887556E-2</v>
      </c>
      <c r="F7" s="19">
        <f>1.986*2</f>
        <v>3.972</v>
      </c>
      <c r="G7" s="10">
        <v>500</v>
      </c>
      <c r="H7" s="3">
        <v>1</v>
      </c>
      <c r="I7" s="3">
        <v>1</v>
      </c>
      <c r="J7" s="11">
        <v>1</v>
      </c>
      <c r="K7" s="11">
        <v>1</v>
      </c>
    </row>
    <row r="8" spans="1:11" ht="9.9499999999999993" customHeight="1" x14ac:dyDescent="0.25">
      <c r="A8" s="3">
        <v>6</v>
      </c>
      <c r="B8" s="11" t="s">
        <v>34</v>
      </c>
      <c r="C8" s="11" t="s">
        <v>44</v>
      </c>
      <c r="D8" s="6">
        <f>87.51*1.609344</f>
        <v>140.83369344000002</v>
      </c>
      <c r="E8" s="20">
        <f>0.0226945491943778*2</f>
        <v>4.53890983887556E-2</v>
      </c>
      <c r="F8" s="19">
        <f>1.986*2</f>
        <v>3.972</v>
      </c>
      <c r="G8" s="10">
        <v>500</v>
      </c>
      <c r="H8" s="3">
        <v>1</v>
      </c>
      <c r="I8" s="3">
        <v>1</v>
      </c>
      <c r="J8" s="11">
        <v>2</v>
      </c>
      <c r="K8" s="11">
        <v>2</v>
      </c>
    </row>
    <row r="9" spans="1:11" ht="9.9499999999999993" customHeight="1" x14ac:dyDescent="0.25">
      <c r="A9" s="3">
        <v>7</v>
      </c>
      <c r="B9" s="11" t="s">
        <v>33</v>
      </c>
      <c r="C9" s="11" t="s">
        <v>34</v>
      </c>
      <c r="D9" s="6">
        <f>102.54*1.609344</f>
        <v>165.02213376000003</v>
      </c>
      <c r="E9" s="20">
        <f>0.0454944411936805*2</f>
        <v>9.0988882387360998E-2</v>
      </c>
      <c r="F9" s="19">
        <f>4.665*2</f>
        <v>9.33</v>
      </c>
      <c r="G9" s="10">
        <v>345</v>
      </c>
      <c r="H9" s="3">
        <v>1</v>
      </c>
      <c r="I9" s="3">
        <v>1</v>
      </c>
      <c r="J9" s="11">
        <v>1</v>
      </c>
      <c r="K9" s="11">
        <v>1</v>
      </c>
    </row>
    <row r="10" spans="1:11" ht="9.9499999999999993" customHeight="1" x14ac:dyDescent="0.25">
      <c r="A10" s="3">
        <v>8</v>
      </c>
      <c r="B10" s="11" t="s">
        <v>33</v>
      </c>
      <c r="C10" s="11" t="s">
        <v>34</v>
      </c>
      <c r="D10" s="6">
        <f>102.54*1.609344</f>
        <v>165.02213376000003</v>
      </c>
      <c r="E10" s="20">
        <f>0.0454944411936805*2</f>
        <v>9.0988882387360998E-2</v>
      </c>
      <c r="F10" s="19">
        <f>4.665*2</f>
        <v>9.33</v>
      </c>
      <c r="G10" s="10">
        <v>345</v>
      </c>
      <c r="H10" s="3">
        <v>1</v>
      </c>
      <c r="I10" s="3">
        <v>1</v>
      </c>
      <c r="J10" s="11">
        <v>2</v>
      </c>
      <c r="K10" s="11">
        <v>2</v>
      </c>
    </row>
    <row r="11" spans="1:11" ht="9.9499999999999993" customHeight="1" x14ac:dyDescent="0.25">
      <c r="A11" s="3">
        <v>9</v>
      </c>
      <c r="B11" s="11" t="s">
        <v>44</v>
      </c>
      <c r="C11" s="11" t="s">
        <v>45</v>
      </c>
      <c r="D11" s="6">
        <f>103.31*1.609344</f>
        <v>166.26132864000002</v>
      </c>
      <c r="E11" s="20">
        <f>0.0226986738941051*2</f>
        <v>4.5397347788210203E-2</v>
      </c>
      <c r="F11" s="19">
        <v>2.3450000000000002</v>
      </c>
      <c r="G11" s="10">
        <v>500</v>
      </c>
      <c r="H11" s="3">
        <v>1</v>
      </c>
      <c r="I11" s="3">
        <v>1</v>
      </c>
      <c r="J11" s="11">
        <v>1</v>
      </c>
      <c r="K11" s="11">
        <v>1</v>
      </c>
    </row>
    <row r="12" spans="1:11" ht="9.9499999999999993" customHeight="1" x14ac:dyDescent="0.25">
      <c r="A12" s="3">
        <v>10</v>
      </c>
      <c r="B12" s="11" t="s">
        <v>44</v>
      </c>
      <c r="C12" s="11" t="s">
        <v>45</v>
      </c>
      <c r="D12" s="6">
        <f>103.31*1.609344</f>
        <v>166.26132864000002</v>
      </c>
      <c r="E12" s="20">
        <f>0.0226986738941051*2</f>
        <v>4.5397347788210203E-2</v>
      </c>
      <c r="F12" s="19">
        <v>2.3450000000000002</v>
      </c>
      <c r="G12" s="10">
        <v>500</v>
      </c>
      <c r="H12" s="3">
        <v>1</v>
      </c>
      <c r="I12" s="3">
        <v>1</v>
      </c>
      <c r="J12" s="11">
        <v>2</v>
      </c>
      <c r="K12" s="11">
        <v>2</v>
      </c>
    </row>
    <row r="13" spans="1:11" ht="9.9499999999999993" customHeight="1" x14ac:dyDescent="0.25">
      <c r="A13" s="3">
        <v>11</v>
      </c>
      <c r="B13" s="11" t="s">
        <v>45</v>
      </c>
      <c r="C13" s="11" t="s">
        <v>46</v>
      </c>
      <c r="D13" s="6">
        <f>131.05*1.609344</f>
        <v>210.90453120000004</v>
      </c>
      <c r="E13" s="20">
        <f>0.0227012590614269*2</f>
        <v>4.5402518122853799E-2</v>
      </c>
      <c r="F13" s="19">
        <f>2.975*2</f>
        <v>5.95</v>
      </c>
      <c r="G13" s="10">
        <v>500</v>
      </c>
      <c r="H13" s="3">
        <v>1</v>
      </c>
      <c r="I13" s="3">
        <v>1</v>
      </c>
      <c r="J13" s="11">
        <v>1</v>
      </c>
      <c r="K13" s="11">
        <v>1</v>
      </c>
    </row>
    <row r="14" spans="1:11" ht="9.9499999999999993" customHeight="1" x14ac:dyDescent="0.25">
      <c r="A14" s="3">
        <v>12</v>
      </c>
      <c r="B14" s="11" t="s">
        <v>45</v>
      </c>
      <c r="C14" s="11" t="s">
        <v>46</v>
      </c>
      <c r="D14" s="6">
        <f>131.05*1.609344</f>
        <v>210.90453120000004</v>
      </c>
      <c r="E14" s="20">
        <f>0.0227012590614269*2</f>
        <v>4.5402518122853799E-2</v>
      </c>
      <c r="F14" s="19">
        <f>2.975*2</f>
        <v>5.95</v>
      </c>
      <c r="G14" s="10">
        <v>500</v>
      </c>
      <c r="H14" s="3">
        <v>1</v>
      </c>
      <c r="I14" s="3">
        <v>1</v>
      </c>
      <c r="J14" s="11">
        <v>2</v>
      </c>
      <c r="K14" s="11">
        <v>2</v>
      </c>
    </row>
    <row r="15" spans="1:11" ht="9.9499999999999993" customHeight="1" x14ac:dyDescent="0.25">
      <c r="A15" s="3">
        <v>13</v>
      </c>
      <c r="B15" s="11" t="s">
        <v>45</v>
      </c>
      <c r="C15" s="11" t="s">
        <v>47</v>
      </c>
      <c r="D15" s="6">
        <f>154.57*1.609344</f>
        <v>248.75630208000001</v>
      </c>
      <c r="E15" s="20">
        <f>1.71443358995924*2</f>
        <v>3.42886717991848</v>
      </c>
      <c r="F15" s="19">
        <f>265*2</f>
        <v>530</v>
      </c>
      <c r="G15" s="10">
        <v>500</v>
      </c>
      <c r="H15" s="3">
        <v>1</v>
      </c>
      <c r="I15" s="3">
        <v>1</v>
      </c>
      <c r="J15" s="11">
        <v>1</v>
      </c>
      <c r="K15" s="11">
        <v>1</v>
      </c>
    </row>
    <row r="16" spans="1:11" ht="9.9499999999999993" customHeight="1" x14ac:dyDescent="0.25">
      <c r="A16" s="3">
        <v>14</v>
      </c>
      <c r="B16" s="11" t="s">
        <v>45</v>
      </c>
      <c r="C16" s="11" t="s">
        <v>47</v>
      </c>
      <c r="D16" s="6">
        <f>154.57*1.609344</f>
        <v>248.75630208000001</v>
      </c>
      <c r="E16" s="20">
        <f>1.71443358995924*2</f>
        <v>3.42886717991848</v>
      </c>
      <c r="F16" s="19">
        <f>265*2</f>
        <v>530</v>
      </c>
      <c r="G16" s="10">
        <v>500</v>
      </c>
      <c r="H16" s="3">
        <v>1</v>
      </c>
      <c r="I16" s="3">
        <v>1</v>
      </c>
      <c r="J16" s="11">
        <v>2</v>
      </c>
      <c r="K16" s="11">
        <v>2</v>
      </c>
    </row>
    <row r="17" spans="1:11" ht="9.9499999999999993" customHeight="1" x14ac:dyDescent="0.25">
      <c r="A17" s="3">
        <v>15</v>
      </c>
      <c r="B17" s="11" t="s">
        <v>46</v>
      </c>
      <c r="C17" s="11" t="s">
        <v>47</v>
      </c>
      <c r="D17" s="6">
        <f>63.59*1.609344</f>
        <v>102.33818496000001</v>
      </c>
      <c r="E17" s="20">
        <f>0.022707972951722*2</f>
        <v>4.5415945903443999E-2</v>
      </c>
      <c r="F17" s="19">
        <f>1.444*2</f>
        <v>2.8879999999999999</v>
      </c>
      <c r="G17" s="10">
        <v>500</v>
      </c>
      <c r="H17" s="3">
        <v>1</v>
      </c>
      <c r="I17" s="3">
        <v>1</v>
      </c>
      <c r="J17" s="11">
        <v>1</v>
      </c>
      <c r="K17" s="11">
        <v>1</v>
      </c>
    </row>
    <row r="18" spans="1:11" ht="9.9499999999999993" customHeight="1" x14ac:dyDescent="0.25">
      <c r="A18" s="3">
        <v>16</v>
      </c>
      <c r="B18" s="11" t="s">
        <v>46</v>
      </c>
      <c r="C18" s="11" t="s">
        <v>47</v>
      </c>
      <c r="D18" s="6">
        <f>63.59*1.609344</f>
        <v>102.33818496000001</v>
      </c>
      <c r="E18" s="20">
        <f>0.022707972951722*2</f>
        <v>4.5415945903443999E-2</v>
      </c>
      <c r="F18" s="19">
        <f>1.444*2</f>
        <v>2.8879999999999999</v>
      </c>
      <c r="G18" s="10">
        <v>500</v>
      </c>
      <c r="H18" s="3">
        <v>1</v>
      </c>
      <c r="I18" s="3">
        <v>1</v>
      </c>
      <c r="J18" s="11">
        <v>2</v>
      </c>
      <c r="K18" s="11">
        <v>2</v>
      </c>
    </row>
    <row r="19" spans="1:11" ht="9.9499999999999993" customHeight="1" x14ac:dyDescent="0.25">
      <c r="A19" s="3">
        <v>17</v>
      </c>
      <c r="B19" s="11" t="s">
        <v>44</v>
      </c>
      <c r="C19" s="11" t="s">
        <v>46</v>
      </c>
      <c r="D19" s="6">
        <f>205.57*1.609344</f>
        <v>330.83284608000002</v>
      </c>
      <c r="E19" s="20">
        <f>0.0226978644743883*2</f>
        <v>4.5395728948776602E-2</v>
      </c>
      <c r="F19" s="19">
        <f>4.666*2</f>
        <v>9.3320000000000007</v>
      </c>
      <c r="G19" s="10">
        <v>500</v>
      </c>
      <c r="H19" s="3">
        <v>1</v>
      </c>
      <c r="I19" s="3">
        <v>1</v>
      </c>
      <c r="J19" s="11">
        <v>1</v>
      </c>
      <c r="K19" s="11">
        <v>1</v>
      </c>
    </row>
    <row r="20" spans="1:11" ht="9.9499999999999993" customHeight="1" x14ac:dyDescent="0.25">
      <c r="A20" s="3">
        <v>18</v>
      </c>
      <c r="B20" s="11" t="s">
        <v>44</v>
      </c>
      <c r="C20" s="11" t="s">
        <v>46</v>
      </c>
      <c r="D20" s="6">
        <f>205.57*1.609344</f>
        <v>330.83284608000002</v>
      </c>
      <c r="E20" s="20">
        <f>0.0226978644743883*2</f>
        <v>4.5395728948776602E-2</v>
      </c>
      <c r="F20" s="19">
        <f>4.666*2</f>
        <v>9.3320000000000007</v>
      </c>
      <c r="G20" s="10">
        <v>500</v>
      </c>
      <c r="H20" s="3">
        <v>1</v>
      </c>
      <c r="I20" s="3">
        <v>1</v>
      </c>
      <c r="J20" s="11">
        <v>2</v>
      </c>
      <c r="K20" s="11">
        <v>2</v>
      </c>
    </row>
    <row r="21" spans="1:11" ht="9.9499999999999993" customHeight="1" x14ac:dyDescent="0.25">
      <c r="A21" s="3">
        <v>19</v>
      </c>
      <c r="B21" s="11" t="s">
        <v>34</v>
      </c>
      <c r="C21" s="11" t="s">
        <v>46</v>
      </c>
      <c r="D21" s="6">
        <f>128.81*1.609344</f>
        <v>207.29960064000002</v>
      </c>
      <c r="E21" s="20">
        <f>0.0227001009238413*2</f>
        <v>4.5400201847682599E-2</v>
      </c>
      <c r="F21" s="19">
        <v>2.9239999999999999</v>
      </c>
      <c r="G21" s="10">
        <v>500</v>
      </c>
      <c r="H21" s="3">
        <v>1</v>
      </c>
      <c r="I21" s="3">
        <v>1</v>
      </c>
      <c r="J21" s="11">
        <v>1</v>
      </c>
      <c r="K21" s="11">
        <v>1</v>
      </c>
    </row>
    <row r="22" spans="1:11" ht="9.9499999999999993" customHeight="1" x14ac:dyDescent="0.25">
      <c r="A22" s="3">
        <v>20</v>
      </c>
      <c r="B22" s="11" t="s">
        <v>34</v>
      </c>
      <c r="C22" s="11" t="s">
        <v>46</v>
      </c>
      <c r="D22" s="6">
        <f>128.81*1.609344</f>
        <v>207.29960064000002</v>
      </c>
      <c r="E22" s="20">
        <f>0.0227001009238413*2</f>
        <v>4.5400201847682599E-2</v>
      </c>
      <c r="F22" s="19">
        <v>2.9239999999999999</v>
      </c>
      <c r="G22" s="10">
        <v>500</v>
      </c>
      <c r="H22" s="3">
        <v>1</v>
      </c>
      <c r="I22" s="3">
        <v>1</v>
      </c>
      <c r="J22" s="11">
        <v>2</v>
      </c>
      <c r="K22" s="11">
        <v>2</v>
      </c>
    </row>
    <row r="23" spans="1:11" ht="9.9499999999999993" customHeight="1" x14ac:dyDescent="0.25">
      <c r="A23" s="3">
        <v>21</v>
      </c>
      <c r="B23" s="11" t="s">
        <v>47</v>
      </c>
      <c r="C23" s="11" t="s">
        <v>48</v>
      </c>
      <c r="D23" s="6">
        <f>102.39*1.609344</f>
        <v>164.78073216000001</v>
      </c>
      <c r="E23" s="20">
        <f>0.0226975290555718*2</f>
        <v>4.5395058111143603E-2</v>
      </c>
      <c r="F23" s="19">
        <f>2.324*2</f>
        <v>4.6479999999999997</v>
      </c>
      <c r="G23" s="10">
        <v>500</v>
      </c>
      <c r="H23" s="3">
        <v>1</v>
      </c>
      <c r="I23" s="3">
        <v>1</v>
      </c>
      <c r="J23" s="11">
        <v>1</v>
      </c>
      <c r="K23" s="11">
        <v>1</v>
      </c>
    </row>
    <row r="24" spans="1:11" ht="9.9499999999999993" customHeight="1" x14ac:dyDescent="0.25">
      <c r="A24" s="3">
        <v>22</v>
      </c>
      <c r="B24" s="11" t="s">
        <v>47</v>
      </c>
      <c r="C24" s="11" t="s">
        <v>48</v>
      </c>
      <c r="D24" s="6">
        <f>102.39*1.609344</f>
        <v>164.78073216000001</v>
      </c>
      <c r="E24" s="20">
        <f>0.0226975290555718*2</f>
        <v>4.5395058111143603E-2</v>
      </c>
      <c r="F24" s="19">
        <f>2.324*2</f>
        <v>4.6479999999999997</v>
      </c>
      <c r="G24" s="10">
        <v>500</v>
      </c>
      <c r="H24" s="3">
        <v>1</v>
      </c>
      <c r="I24" s="3">
        <v>1</v>
      </c>
      <c r="J24" s="11">
        <v>2</v>
      </c>
      <c r="K24" s="11">
        <v>2</v>
      </c>
    </row>
    <row r="25" spans="1:11" ht="9.9499999999999993" customHeight="1" x14ac:dyDescent="0.25">
      <c r="A25" s="3">
        <v>23</v>
      </c>
      <c r="B25" s="11" t="s">
        <v>34</v>
      </c>
      <c r="C25" s="11" t="s">
        <v>45</v>
      </c>
      <c r="D25" s="6">
        <f>88.98*1.609344</f>
        <v>143.19942912000002</v>
      </c>
      <c r="E25" s="20">
        <f>0.0455046077770285*2</f>
        <v>9.1009215554056999E-2</v>
      </c>
      <c r="F25" s="19">
        <f>4.049*2</f>
        <v>8.0980000000000008</v>
      </c>
      <c r="G25" s="10">
        <v>345</v>
      </c>
      <c r="H25" s="3">
        <v>1</v>
      </c>
      <c r="I25" s="3">
        <v>1</v>
      </c>
      <c r="J25" s="11">
        <v>1</v>
      </c>
      <c r="K25" s="11">
        <v>1</v>
      </c>
    </row>
    <row r="26" spans="1:11" ht="9.9499999999999993" customHeight="1" x14ac:dyDescent="0.25">
      <c r="A26" s="3">
        <v>24</v>
      </c>
      <c r="B26" s="11" t="s">
        <v>34</v>
      </c>
      <c r="C26" s="11" t="s">
        <v>45</v>
      </c>
      <c r="D26" s="6">
        <f>88.98*1.609344</f>
        <v>143.19942912000002</v>
      </c>
      <c r="E26" s="20">
        <f>0.0455046077770285*2</f>
        <v>9.1009215554056999E-2</v>
      </c>
      <c r="F26" s="19">
        <f>4.049*2</f>
        <v>8.0980000000000008</v>
      </c>
      <c r="G26" s="10">
        <v>345</v>
      </c>
      <c r="H26" s="3">
        <v>1</v>
      </c>
      <c r="I26" s="3">
        <v>1</v>
      </c>
      <c r="J26" s="11">
        <v>2</v>
      </c>
      <c r="K26" s="11">
        <v>2</v>
      </c>
    </row>
    <row r="27" spans="1:11" ht="9.9499999999999993" customHeight="1" x14ac:dyDescent="0.25">
      <c r="A27" s="3">
        <v>25</v>
      </c>
      <c r="B27" s="11" t="s">
        <v>33</v>
      </c>
      <c r="C27" s="11" t="s">
        <v>45</v>
      </c>
      <c r="D27" s="6">
        <f>152.53*1.609344</f>
        <v>245.47324032000003</v>
      </c>
      <c r="E27" s="20">
        <f>0.0454992460499574*2</f>
        <v>9.0998492099914799E-2</v>
      </c>
      <c r="F27" s="19">
        <f>6.94*2</f>
        <v>13.88</v>
      </c>
      <c r="G27" s="10">
        <v>345</v>
      </c>
      <c r="H27" s="3">
        <v>1</v>
      </c>
      <c r="I27" s="3">
        <v>1</v>
      </c>
      <c r="J27" s="11">
        <v>1</v>
      </c>
      <c r="K27" s="11">
        <v>1</v>
      </c>
    </row>
    <row r="28" spans="1:11" ht="9.9499999999999993" customHeight="1" x14ac:dyDescent="0.25">
      <c r="A28" s="3">
        <v>26</v>
      </c>
      <c r="B28" s="11" t="s">
        <v>33</v>
      </c>
      <c r="C28" s="11" t="s">
        <v>45</v>
      </c>
      <c r="D28" s="6">
        <f>152.53*1.609344</f>
        <v>245.47324032000003</v>
      </c>
      <c r="E28" s="20">
        <f>0.0454992460499574*2</f>
        <v>9.0998492099914799E-2</v>
      </c>
      <c r="F28" s="19">
        <f>6.94*2</f>
        <v>13.88</v>
      </c>
      <c r="G28" s="10">
        <v>345</v>
      </c>
      <c r="H28" s="3">
        <v>1</v>
      </c>
      <c r="I28" s="3">
        <v>1</v>
      </c>
      <c r="J28" s="11">
        <v>2</v>
      </c>
      <c r="K28" s="11">
        <v>2</v>
      </c>
    </row>
  </sheetData>
  <mergeCells count="1">
    <mergeCell ref="A1:A2"/>
  </mergeCells>
  <dataValidations count="1">
    <dataValidation type="list" allowBlank="1" showInputMessage="1" showErrorMessage="1" sqref="B3:C28" xr:uid="{00000000-0002-0000-0200-000000000000}">
      <formula1>Sub_abbr</formula1>
    </dataValidation>
  </dataValidations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5"/>
  <sheetViews>
    <sheetView workbookViewId="0">
      <selection activeCell="A3" sqref="A3:A5"/>
    </sheetView>
  </sheetViews>
  <sheetFormatPr defaultColWidth="11.42578125" defaultRowHeight="15" x14ac:dyDescent="0.25"/>
  <sheetData>
    <row r="2" spans="1:1" x14ac:dyDescent="0.25">
      <c r="A2" t="s">
        <v>31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Substations</vt:lpstr>
      <vt:lpstr>Transformers</vt:lpstr>
      <vt:lpstr>Lines</vt:lpstr>
      <vt:lpstr>List</vt:lpstr>
      <vt:lpstr>Sub</vt:lpstr>
      <vt:lpstr>Sub_abbr</vt:lpstr>
      <vt:lpstr>Subname</vt:lpstr>
      <vt:lpstr>Trafo_sub</vt:lpstr>
      <vt:lpstr>Transformertype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Halbedl</dc:creator>
  <cp:lastModifiedBy>pc-user</cp:lastModifiedBy>
  <cp:lastPrinted>2015-05-26T10:29:38Z</cp:lastPrinted>
  <dcterms:created xsi:type="dcterms:W3CDTF">2015-05-26T10:20:50Z</dcterms:created>
  <dcterms:modified xsi:type="dcterms:W3CDTF">2025-05-20T12:39:48Z</dcterms:modified>
</cp:coreProperties>
</file>